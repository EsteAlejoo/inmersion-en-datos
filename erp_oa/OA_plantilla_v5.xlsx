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" sheetId="1" state="visible" r:id="rId1"/>
    <sheet name="Desgl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A4D2E"/>
      <sz val="12"/>
    </font>
    <font>
      <name val="Arial"/>
      <b val="1"/>
      <color rgb="00555555"/>
      <sz val="8"/>
    </font>
    <font>
      <name val="Arial"/>
      <b val="1"/>
      <color rgb="001A4D2E"/>
      <sz val="11"/>
    </font>
    <font>
      <name val="Arial"/>
      <i val="1"/>
      <color rgb="00888888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b val="1"/>
      <color rgb="00111111"/>
      <sz val="7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A3080"/>
      <sz val="8"/>
    </font>
    <font>
      <name val="Arial"/>
      <color rgb="001A3080"/>
      <sz val="8"/>
    </font>
    <font>
      <name val="Arial"/>
      <sz val="8"/>
    </font>
    <font>
      <name val="Arial"/>
      <b val="1"/>
      <sz val="8"/>
    </font>
    <font>
      <name val="Arial"/>
      <color rgb="00888888"/>
      <sz val="8"/>
    </font>
    <font>
      <name val="Arial"/>
      <b val="1"/>
      <color rgb="00FFFFFF"/>
      <sz val="7"/>
    </font>
    <font>
      <name val="Arial"/>
      <color rgb="00991B1B"/>
      <sz val="7.5"/>
    </font>
    <font>
      <name val="Arial"/>
      <b val="1"/>
      <color rgb="00333333"/>
      <sz val="8"/>
    </font>
    <font>
      <name val="Arial"/>
      <b val="1"/>
      <color rgb="001A4D2E"/>
      <sz val="9"/>
    </font>
    <font>
      <name val="Arial"/>
      <b val="1"/>
      <sz val="9"/>
    </font>
    <font>
      <name val="Arial"/>
      <i val="1"/>
      <color rgb="00666666"/>
      <sz val="7"/>
    </font>
  </fonts>
  <fills count="13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FFFDE7"/>
      </patternFill>
    </fill>
    <fill>
      <patternFill patternType="solid">
        <fgColor rgb="001B3347"/>
      </patternFill>
    </fill>
    <fill>
      <patternFill patternType="solid">
        <fgColor rgb="001A4D2E"/>
      </patternFill>
    </fill>
    <fill>
      <patternFill patternType="solid">
        <fgColor rgb="00EAF4EF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424242"/>
      </patternFill>
    </fill>
    <fill>
      <patternFill patternType="solid">
        <fgColor rgb="00FFF5F5"/>
      </patternFill>
    </fill>
    <fill>
      <patternFill patternType="solid">
        <fgColor rgb="003E2218"/>
      </patternFill>
    </fill>
    <fill>
      <patternFill patternType="solid">
        <fgColor rgb="00F7EEEB"/>
      </patternFill>
    </fill>
  </fills>
  <borders count="12">
    <border>
      <left/>
      <right/>
      <top/>
      <bottom/>
      <diagonal/>
    </border>
    <border>
      <left style="thin"/>
      <right style="thin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thin"/>
      <bottom style="medium">
        <color rgb="00888888"/>
      </bottom>
    </border>
    <border>
      <left style="thin"/>
      <right style="thin"/>
      <top style="thin"/>
      <bottom style="medium">
        <color rgb="00E53E3E"/>
      </bottom>
    </border>
    <border>
      <left style="thin"/>
      <right style="thin"/>
      <top style="thin"/>
      <bottom style="medium">
        <color rgb="0038A169"/>
      </bottom>
    </border>
    <border>
      <left style="thin"/>
      <right style="thin"/>
      <top style="thin"/>
      <bottom style="medium">
        <color rgb="00FFFFFF"/>
      </bottom>
    </border>
    <border>
      <bottom style="medium"/>
    </border>
    <border>
      <left style="thin"/>
      <right style="thin"/>
      <top style="medium"/>
      <bottom style="thick">
        <color rgb="00888888"/>
      </bottom>
    </border>
    <border>
      <left style="thin"/>
      <right style="thin"/>
      <top style="medium"/>
      <bottom style="thick">
        <color rgb="00E53E3E"/>
      </bottom>
    </border>
    <border>
      <left style="thin"/>
      <right style="thin"/>
      <top style="medium"/>
      <bottom style="thick">
        <color rgb="0038A169"/>
      </bottom>
    </border>
    <border>
      <left style="thin"/>
      <right style="thin"/>
      <top style="medium"/>
      <bottom style="thick">
        <color rgb="00AAAAA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1" fillId="3" borderId="2" applyAlignment="1" pivotButton="0" quotePrefix="0" xfId="0">
      <alignment horizontal="center" vertical="center"/>
    </xf>
    <xf numFmtId="4" fontId="12" fillId="6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9" fillId="8" borderId="4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9" fillId="2" borderId="5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0" fontId="10" fillId="8" borderId="6" applyAlignment="1" pivotButton="0" quotePrefix="0" xfId="0">
      <alignment horizontal="left" vertical="center"/>
    </xf>
    <xf numFmtId="0" fontId="12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0" fillId="2" borderId="6" applyAlignment="1" pivotButton="0" quotePrefix="0" xfId="0">
      <alignment horizontal="left" vertical="center"/>
    </xf>
    <xf numFmtId="0" fontId="12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6" fillId="9" borderId="0" applyAlignment="1" pivotButton="0" quotePrefix="0" xfId="0">
      <alignment horizontal="left" vertical="center"/>
    </xf>
    <xf numFmtId="0" fontId="17" fillId="10" borderId="0" applyAlignment="1" pivotButton="0" quotePrefix="0" xfId="0">
      <alignment vertical="center" wrapText="1"/>
    </xf>
    <xf numFmtId="0" fontId="6" fillId="11" borderId="0" applyAlignment="1" pivotButton="0" quotePrefix="0" xfId="0">
      <alignment horizontal="left" vertical="center"/>
    </xf>
    <xf numFmtId="0" fontId="13" fillId="12" borderId="0" applyAlignment="1" pivotButton="0" quotePrefix="0" xfId="0">
      <alignment vertical="center"/>
    </xf>
    <xf numFmtId="0" fontId="6" fillId="8" borderId="0" applyAlignment="1" pivotButton="0" quotePrefix="0" xfId="0">
      <alignment horizontal="left" vertical="center"/>
    </xf>
    <xf numFmtId="0" fontId="18" fillId="2" borderId="7" applyAlignment="1" pivotButton="0" quotePrefix="0" xfId="0">
      <alignment horizontal="center" vertical="bottom"/>
    </xf>
    <xf numFmtId="0" fontId="19" fillId="0" borderId="0" pivotButton="0" quotePrefix="0" xfId="0"/>
    <xf numFmtId="0" fontId="2" fillId="0" borderId="0" applyAlignment="1" pivotButton="0" quotePrefix="0" xfId="0">
      <alignment horizontal="right" vertical="center"/>
    </xf>
    <xf numFmtId="3" fontId="20" fillId="0" borderId="0" pivotButton="0" quotePrefix="0" xfId="0"/>
    <xf numFmtId="0" fontId="8" fillId="7" borderId="1" applyAlignment="1" pivotButton="0" quotePrefix="0" xfId="0">
      <alignment horizontal="center" vertical="bottom" wrapText="1"/>
    </xf>
    <xf numFmtId="0" fontId="8" fillId="7" borderId="8" applyAlignment="1" pivotButton="0" quotePrefix="0" xfId="0">
      <alignment horizontal="center" vertical="bottom" wrapText="1"/>
    </xf>
    <xf numFmtId="0" fontId="8" fillId="7" borderId="9" applyAlignment="1" pivotButton="0" quotePrefix="0" xfId="0">
      <alignment horizontal="center" vertical="bottom" wrapText="1"/>
    </xf>
    <xf numFmtId="0" fontId="8" fillId="7" borderId="10" applyAlignment="1" pivotButton="0" quotePrefix="0" xfId="0">
      <alignment horizontal="center" vertical="bottom" wrapText="1"/>
    </xf>
    <xf numFmtId="0" fontId="8" fillId="7" borderId="11" applyAlignment="1" pivotButton="0" quotePrefix="0" xfId="0">
      <alignment horizontal="center" vertical="bottom" wrapText="1"/>
    </xf>
    <xf numFmtId="0" fontId="14" fillId="6" borderId="2" applyAlignment="1" pivotButton="0" quotePrefix="0" xfId="0">
      <alignment horizontal="center" vertical="center"/>
    </xf>
    <xf numFmtId="4" fontId="13" fillId="3" borderId="2" applyAlignment="1" pivotButton="0" quotePrefix="0" xfId="0">
      <alignment horizontal="center" vertical="center"/>
    </xf>
    <xf numFmtId="3" fontId="12" fillId="6" borderId="2" applyAlignment="1" pivotButton="0" quotePrefix="0" xfId="0">
      <alignment horizontal="center" vertical="center"/>
    </xf>
    <xf numFmtId="0" fontId="0" fillId="3" borderId="2" pivotButton="0" quotePrefix="0" xfId="0"/>
    <xf numFmtId="0" fontId="14" fillId="7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3" customWidth="1" min="4" max="4"/>
    <col width="8" customWidth="1" min="5" max="5"/>
    <col width="8" customWidth="1" min="6" max="6"/>
    <col width="10" customWidth="1" min="7" max="7"/>
    <col width="10" customWidth="1" min="8" max="8"/>
    <col width="9" customWidth="1" min="9" max="9"/>
    <col width="9" customWidth="1" min="10" max="10"/>
    <col width="7" customWidth="1" min="11" max="11"/>
  </cols>
  <sheetData>
    <row r="1" ht="18" customHeight="1">
      <c r="B1" s="1" t="inlineStr">
        <is>
          <t>ORDEN DE APLICACIÓN DE AGROQUÍMICOS</t>
        </is>
      </c>
      <c r="I1" s="2" t="inlineStr">
        <is>
          <t>N. Orden:</t>
        </is>
      </c>
      <c r="K1" s="3" t="inlineStr">
        <is>
          <t>SP-042</t>
        </is>
      </c>
    </row>
    <row r="2" ht="14" customHeight="1">
      <c r="B2" s="4" t="inlineStr">
        <is>
          <t>San Pedro SpA · Emisión:</t>
        </is>
      </c>
      <c r="I2" s="2" t="inlineStr">
        <is>
          <t>Fecha Emisión:</t>
        </is>
      </c>
      <c r="K2" s="5" t="inlineStr">
        <is>
          <t>08-05-2026</t>
        </is>
      </c>
    </row>
    <row r="3" ht="4" customHeight="1"/>
    <row r="4" ht="14" customHeight="1">
      <c r="A4" s="6" t="inlineStr">
        <is>
          <t>DATOS DE LA AGRÍCOLA</t>
        </is>
      </c>
    </row>
    <row r="5" ht="14" customHeight="1">
      <c r="A5" s="2" t="inlineStr">
        <is>
          <t>Razón Social</t>
        </is>
      </c>
      <c r="B5" s="5" t="inlineStr">
        <is>
          <t>San Pedro SpA</t>
        </is>
      </c>
      <c r="E5" s="2" t="inlineStr">
        <is>
          <t>RUT</t>
        </is>
      </c>
      <c r="F5" s="5" t="inlineStr">
        <is>
          <t>76.123.456-7</t>
        </is>
      </c>
      <c r="H5" s="2" t="inlineStr">
        <is>
          <t>Predio</t>
        </is>
      </c>
      <c r="I5" s="5" t="inlineStr">
        <is>
          <t>Campo San Pablo</t>
        </is>
      </c>
      <c r="K5" s="5" t="inlineStr">
        <is>
          <t>CSG-001</t>
        </is>
      </c>
    </row>
    <row r="6" ht="14" customHeight="1">
      <c r="A6" s="2" t="inlineStr">
        <is>
          <t>Dirección</t>
        </is>
      </c>
      <c r="B6" s="5" t="inlineStr">
        <is>
          <t>Camino El Romero s/n</t>
        </is>
      </c>
      <c r="H6" s="2" t="inlineStr">
        <is>
          <t>Localidad</t>
        </is>
      </c>
      <c r="I6" s="5" t="inlineStr">
        <is>
          <t>La Serena, Elqui, Coquimbo</t>
        </is>
      </c>
    </row>
    <row r="7" ht="4" customHeight="1"/>
    <row r="8" ht="14" customHeight="1">
      <c r="A8" s="7" t="inlineStr">
        <is>
          <t>DATOS DE APLICACIÓN</t>
        </is>
      </c>
    </row>
    <row r="9" ht="14" customHeight="1">
      <c r="A9" s="2" t="inlineStr">
        <is>
          <t>Fecha Inicio</t>
        </is>
      </c>
      <c r="B9" s="5" t="inlineStr">
        <is>
          <t>10-05-2026</t>
        </is>
      </c>
      <c r="D9" s="2" t="inlineStr">
        <is>
          <t>Especie</t>
        </is>
      </c>
      <c r="E9" s="5" t="inlineStr">
        <is>
          <t>Limón</t>
        </is>
      </c>
      <c r="G9" s="2" t="inlineStr">
        <is>
          <t>Variedad</t>
        </is>
      </c>
      <c r="H9" s="5" t="inlineStr">
        <is>
          <t>Fino 49</t>
        </is>
      </c>
      <c r="J9" s="2" t="inlineStr">
        <is>
          <t>E. Fenológico</t>
        </is>
      </c>
      <c r="K9" s="5" t="inlineStr">
        <is>
          <t>Frutos 40-60 mm</t>
        </is>
      </c>
    </row>
    <row r="10" ht="14" customHeight="1">
      <c r="A10" s="2" t="inlineStr">
        <is>
          <t>Cuarteles</t>
        </is>
      </c>
      <c r="B10" s="5" t="inlineStr">
        <is>
          <t>15–16, 18–20  (5 cuarteles)</t>
        </is>
      </c>
      <c r="F10" s="2" t="inlineStr">
        <is>
          <t>Sup. Total (ha)</t>
        </is>
      </c>
      <c r="G10" s="8" t="n">
        <v>23.11</v>
      </c>
      <c r="H10" s="2" t="inlineStr">
        <is>
          <t>Mojamiento (L/ha)</t>
        </is>
      </c>
      <c r="I10" s="9" t="n">
        <v>4500</v>
      </c>
      <c r="J10" s="10" t="inlineStr">
        <is>
          <t>Cap. Estanque (L)</t>
        </is>
      </c>
      <c r="K10" s="9" t="n">
        <v>2000</v>
      </c>
    </row>
    <row r="11" ht="14" customHeight="1">
      <c r="A11" s="2" t="inlineStr">
        <is>
          <t>Mercado Destino</t>
        </is>
      </c>
      <c r="B11" s="5" t="inlineStr">
        <is>
          <t>Exportación — China/UE</t>
        </is>
      </c>
      <c r="E11" s="2" t="inlineStr">
        <is>
          <t>Forma Aplic.</t>
        </is>
      </c>
      <c r="F11" s="5" t="inlineStr">
        <is>
          <t>Pulverizadora</t>
        </is>
      </c>
      <c r="H11" s="2" t="inlineStr">
        <is>
          <t>Reingreso</t>
        </is>
      </c>
      <c r="I11" s="5" t="inlineStr">
        <is>
          <t>24 h · Emb./Lact.: 48 h</t>
        </is>
      </c>
    </row>
    <row r="12" ht="4" customHeight="1">
      <c r="A12" s="7" t="inlineStr">
        <is>
          <t>PRODUCTOS — MEZCLA DE APLICACIÓN</t>
        </is>
      </c>
    </row>
    <row r="13" ht="32" customHeight="1">
      <c r="A13" s="11" t="inlineStr">
        <is>
          <t>Nombre comercial</t>
        </is>
      </c>
      <c r="B13" s="12" t="inlineStr">
        <is>
          <t>Ingrediente activo</t>
        </is>
      </c>
      <c r="C13" s="12" t="inlineStr">
        <is>
          <t>Objetivo</t>
        </is>
      </c>
      <c r="D13" s="12" t="inlineStr">
        <is>
          <t>Dosis/100L
(cc ó g)</t>
        </is>
      </c>
      <c r="E13" s="12" t="inlineStr">
        <is>
          <t>Dosis/Ha
(L ó kg)</t>
        </is>
      </c>
      <c r="F13" s="12" t="inlineStr">
        <is>
          <t>Nec.
Maquinada
(L ó kg)</t>
        </is>
      </c>
      <c r="G13" s="12" t="inlineStr">
        <is>
          <t>Nec.
Total
(L ó kg)</t>
        </is>
      </c>
      <c r="H13" s="12" t="inlineStr">
        <is>
          <t>Carencia
Etiq.
(días)</t>
        </is>
      </c>
      <c r="I13" s="12" t="inlineStr">
        <is>
          <t>Carencia
ASOEX
(días)</t>
        </is>
      </c>
      <c r="J13" s="12" t="inlineStr">
        <is>
          <t>Usos/
Temp.</t>
        </is>
      </c>
    </row>
    <row r="14" ht="16" customHeight="1">
      <c r="A14" s="13" t="inlineStr">
        <is>
          <t>Defender Potasio</t>
        </is>
      </c>
      <c r="B14" s="14" t="inlineStr">
        <is>
          <t>Fosfito de potasio</t>
        </is>
      </c>
      <c r="C14" s="14" t="inlineStr">
        <is>
          <t>Nutricion / Resistencia</t>
        </is>
      </c>
      <c r="D14" s="15" t="n">
        <v>300</v>
      </c>
      <c r="E14" s="16">
        <f>IFERROR(D14*J10/100/1000,"—")</f>
        <v/>
      </c>
      <c r="F14" s="16">
        <f>IFERROR(D14*K10/100/1000,"—")</f>
        <v/>
      </c>
      <c r="G14" s="16">
        <f>IFERROR(D14*J10*G10/100/1000,"—")</f>
        <v/>
      </c>
      <c r="H14" s="17" t="n">
        <v>0</v>
      </c>
      <c r="I14" s="17" t="inlineStr">
        <is>
          <t>—</t>
        </is>
      </c>
      <c r="J14" s="14" t="inlineStr">
        <is>
          <t>—</t>
        </is>
      </c>
    </row>
    <row r="15" ht="16" customHeight="1">
      <c r="A15" s="18" t="inlineStr">
        <is>
          <t>Ripper Max 75 SG</t>
        </is>
      </c>
      <c r="B15" s="19" t="inlineStr">
        <is>
          <t>Abamectina 75 g/kg</t>
        </is>
      </c>
      <c r="C15" s="19" t="inlineStr">
        <is>
          <t>Acaros / Mosquita blanca</t>
        </is>
      </c>
      <c r="D15" s="15" t="n">
        <v>1000</v>
      </c>
      <c r="E15" s="16">
        <f>IFERROR(D15*J10/100/1000,"—")</f>
        <v/>
      </c>
      <c r="F15" s="16">
        <f>IFERROR(D15*K10/100/1000,"—")</f>
        <v/>
      </c>
      <c r="G15" s="16">
        <f>IFERROR(D15*J10*G10/100/1000,"—")</f>
        <v/>
      </c>
      <c r="H15" s="20" t="n">
        <v>14</v>
      </c>
      <c r="I15" s="20" t="n">
        <v>30</v>
      </c>
      <c r="J15" s="19" t="inlineStr">
        <is>
          <t>1 de 3</t>
        </is>
      </c>
    </row>
    <row r="16" ht="16" customHeight="1">
      <c r="A16" s="21" t="inlineStr">
        <is>
          <t>Exirel 200 SC</t>
        </is>
      </c>
      <c r="B16" s="14" t="inlineStr">
        <is>
          <t>Cyantraniliprole 200 g/L</t>
        </is>
      </c>
      <c r="C16" s="14" t="inlineStr">
        <is>
          <t>Trips / Lepidópteros</t>
        </is>
      </c>
      <c r="D16" s="15" t="n">
        <v>50</v>
      </c>
      <c r="E16" s="16">
        <f>IFERROR(D16*J10/100/1000,"—")</f>
        <v/>
      </c>
      <c r="F16" s="16">
        <f>IFERROR(D16*K10/100/1000,"—")</f>
        <v/>
      </c>
      <c r="G16" s="16">
        <f>IFERROR(D16*J10*G10/100/1000,"—")</f>
        <v/>
      </c>
      <c r="H16" s="22" t="n">
        <v>7</v>
      </c>
      <c r="I16" s="22" t="n">
        <v>14</v>
      </c>
      <c r="J16" s="14" t="inlineStr">
        <is>
          <t>1 de 2</t>
        </is>
      </c>
    </row>
    <row r="17" ht="4" customHeight="1">
      <c r="A17" s="23" t="inlineStr"/>
      <c r="B17" s="19" t="inlineStr"/>
      <c r="C17" s="19" t="inlineStr"/>
      <c r="D17" s="24" t="n"/>
      <c r="E17" s="25" t="inlineStr"/>
      <c r="F17" s="25" t="inlineStr"/>
      <c r="G17" s="25" t="inlineStr"/>
      <c r="H17" s="26" t="inlineStr">
        <is>
          <t>—</t>
        </is>
      </c>
      <c r="I17" s="26" t="inlineStr">
        <is>
          <t>—</t>
        </is>
      </c>
      <c r="J17" s="19" t="inlineStr">
        <is>
          <t>—</t>
        </is>
      </c>
    </row>
    <row r="18" ht="11" customHeight="1">
      <c r="A18" s="27" t="inlineStr"/>
      <c r="B18" s="14" t="inlineStr"/>
      <c r="C18" s="14" t="inlineStr"/>
      <c r="D18" s="28" t="n"/>
      <c r="E18" s="29" t="inlineStr"/>
      <c r="F18" s="29" t="inlineStr"/>
      <c r="G18" s="29" t="inlineStr"/>
      <c r="H18" s="17" t="inlineStr">
        <is>
          <t>—</t>
        </is>
      </c>
      <c r="I18" s="17" t="inlineStr">
        <is>
          <t>—</t>
        </is>
      </c>
      <c r="J18" s="14" t="inlineStr">
        <is>
          <t>—</t>
        </is>
      </c>
    </row>
    <row r="19" ht="11" customHeight="1">
      <c r="A19" s="23" t="inlineStr"/>
      <c r="B19" s="19" t="inlineStr"/>
      <c r="C19" s="19" t="inlineStr"/>
      <c r="D19" s="24" t="n"/>
      <c r="E19" s="25" t="inlineStr"/>
      <c r="F19" s="25" t="inlineStr"/>
      <c r="G19" s="25" t="inlineStr"/>
      <c r="H19" s="26" t="inlineStr">
        <is>
          <t>—</t>
        </is>
      </c>
      <c r="I19" s="26" t="inlineStr">
        <is>
          <t>—</t>
        </is>
      </c>
      <c r="J19" s="19" t="inlineStr">
        <is>
          <t>—</t>
        </is>
      </c>
    </row>
    <row r="20" ht="11" customHeight="1">
      <c r="A20" s="27" t="inlineStr"/>
      <c r="B20" s="14" t="inlineStr"/>
      <c r="C20" s="14" t="inlineStr"/>
      <c r="D20" s="28" t="n"/>
      <c r="E20" s="29" t="inlineStr"/>
      <c r="F20" s="29" t="inlineStr"/>
      <c r="G20" s="29" t="inlineStr"/>
      <c r="H20" s="17" t="inlineStr">
        <is>
          <t>—</t>
        </is>
      </c>
      <c r="I20" s="17" t="inlineStr">
        <is>
          <t>—</t>
        </is>
      </c>
      <c r="J20" s="14" t="inlineStr">
        <is>
          <t>—</t>
        </is>
      </c>
    </row>
    <row r="21" ht="11" customHeight="1">
      <c r="A21" s="23" t="inlineStr"/>
      <c r="B21" s="19" t="inlineStr"/>
      <c r="C21" s="19" t="inlineStr"/>
      <c r="D21" s="24" t="n"/>
      <c r="E21" s="25" t="inlineStr"/>
      <c r="F21" s="25" t="inlineStr"/>
      <c r="G21" s="25" t="inlineStr"/>
      <c r="H21" s="26" t="inlineStr">
        <is>
          <t>—</t>
        </is>
      </c>
      <c r="I21" s="26" t="inlineStr">
        <is>
          <t>—</t>
        </is>
      </c>
      <c r="J21" s="19" t="inlineStr">
        <is>
          <t>—</t>
        </is>
      </c>
    </row>
    <row r="22" ht="4" customHeight="1">
      <c r="A22" s="27" t="inlineStr"/>
      <c r="B22" s="14" t="inlineStr"/>
      <c r="C22" s="14" t="inlineStr"/>
      <c r="D22" s="28" t="n"/>
      <c r="E22" s="29" t="inlineStr"/>
      <c r="F22" s="29" t="inlineStr"/>
      <c r="G22" s="29" t="inlineStr"/>
      <c r="H22" s="17" t="inlineStr">
        <is>
          <t>—</t>
        </is>
      </c>
      <c r="I22" s="17" t="inlineStr">
        <is>
          <t>—</t>
        </is>
      </c>
      <c r="J22" s="14" t="inlineStr">
        <is>
          <t>—</t>
        </is>
      </c>
    </row>
    <row r="23" ht="20" customHeight="1">
      <c r="A23" s="23" t="inlineStr"/>
      <c r="B23" s="19" t="inlineStr"/>
      <c r="C23" s="19" t="inlineStr"/>
      <c r="D23" s="24" t="n"/>
      <c r="E23" s="25" t="inlineStr"/>
      <c r="F23" s="25" t="inlineStr"/>
      <c r="G23" s="25" t="inlineStr"/>
      <c r="H23" s="26" t="inlineStr">
        <is>
          <t>—</t>
        </is>
      </c>
      <c r="I23" s="26" t="inlineStr">
        <is>
          <t>—</t>
        </is>
      </c>
      <c r="J23" s="19" t="inlineStr">
        <is>
          <t>—</t>
        </is>
      </c>
    </row>
    <row r="24" ht="14" customHeight="1">
      <c r="A24" s="30" t="inlineStr">
        <is>
          <t>* Celdas amarillas = entrada manual   · Celdas verdes = cálculo automático   · Dosis/ha = Dosis/100L × Mojamiento ÷ 100 ÷ 1000</t>
        </is>
      </c>
    </row>
    <row r="25" ht="20" customHeight="1"/>
    <row r="26" ht="20" customHeight="1">
      <c r="A26" s="31" t="inlineStr">
        <is>
          <t>⚠  Fecha posible Cosecha = Fecha aplicación (día 0) + días carencia + 1.  Ej: aplicado 10-05 (día 0) + 30 días ASOEX + 1 = cosecha no antes del 11-06-2026.  — Carencia mayor este OA: Ripper Max ASOEX 30 días.</t>
        </is>
      </c>
    </row>
    <row r="27" ht="4" customHeight="1"/>
    <row r="28" ht="14" customHeight="1">
      <c r="A28" s="32" t="inlineStr">
        <is>
          <t>INSTRUCCIONES DE SEGURIDAD</t>
        </is>
      </c>
    </row>
    <row r="29" ht="13" customHeight="1">
      <c r="A29" s="33" t="inlineStr">
        <is>
          <t>• Verifique que SAG, apicultores, y poblaciones cercanas estén notificados.</t>
        </is>
      </c>
    </row>
    <row r="30" ht="13" customHeight="1">
      <c r="A30" s="33" t="inlineStr">
        <is>
          <t>• Use siempre su equipo de protección personal (EPP) y lea la etiqueta del producto.</t>
        </is>
      </c>
    </row>
    <row r="31" ht="13" customHeight="1">
      <c r="A31" s="33" t="inlineStr">
        <is>
          <t>• No debe haber terceros durante la aplicación.</t>
        </is>
      </c>
    </row>
    <row r="32" ht="6" customHeight="1">
      <c r="A32" s="34" t="inlineStr"/>
    </row>
    <row r="33" ht="28" customHeight="1">
      <c r="A33" s="35" t="inlineStr">
        <is>
          <t>Responsable Técnico</t>
        </is>
      </c>
      <c r="D33" s="35" t="inlineStr">
        <is>
          <t>Emisor</t>
        </is>
      </c>
      <c r="H33" s="35" t="inlineStr">
        <is>
          <t>Recibe</t>
        </is>
      </c>
    </row>
  </sheetData>
  <mergeCells count="27">
    <mergeCell ref="B11:D11"/>
    <mergeCell ref="F11:G11"/>
    <mergeCell ref="A32:J32"/>
    <mergeCell ref="I2:J2"/>
    <mergeCell ref="A29:J29"/>
    <mergeCell ref="D33:G33"/>
    <mergeCell ref="A28:J28"/>
    <mergeCell ref="H9:I9"/>
    <mergeCell ref="A33:C33"/>
    <mergeCell ref="A31:J31"/>
    <mergeCell ref="F5:G5"/>
    <mergeCell ref="A30:J30"/>
    <mergeCell ref="A24:J24"/>
    <mergeCell ref="B6:G6"/>
    <mergeCell ref="H33:J33"/>
    <mergeCell ref="B5:D5"/>
    <mergeCell ref="B2:H2"/>
    <mergeCell ref="I5:J5"/>
    <mergeCell ref="I1:J1"/>
    <mergeCell ref="I6:K6"/>
    <mergeCell ref="A8:K8"/>
    <mergeCell ref="I11:K11"/>
    <mergeCell ref="A4:K4"/>
    <mergeCell ref="B1:H1"/>
    <mergeCell ref="A12:J12"/>
    <mergeCell ref="A26:J26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8" customWidth="1" min="3" max="3"/>
    <col width="11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16" customHeight="1">
      <c r="A1" s="7" t="inlineStr">
        <is>
          <t>DESGLOSE POR CUARTEL — Cantidades de producto por carga</t>
        </is>
      </c>
    </row>
    <row r="2">
      <c r="A2" s="36">
        <f>OA!K1</f>
        <v/>
      </c>
      <c r="E2" s="37" t="inlineStr">
        <is>
          <t>Mojamiento (L/ha):</t>
        </is>
      </c>
      <c r="H2" s="38">
        <f>OA!J10</f>
        <v/>
      </c>
      <c r="I2" s="37" t="inlineStr">
        <is>
          <t>Cap. estanque (L):</t>
        </is>
      </c>
      <c r="J2" s="38">
        <f>OA!K10</f>
        <v/>
      </c>
    </row>
    <row r="4" ht="36" customHeight="1">
      <c r="A4" s="39" t="inlineStr"/>
      <c r="B4" s="39" t="inlineStr">
        <is>
          <t>Cuartel</t>
        </is>
      </c>
      <c r="C4" s="39" t="inlineStr">
        <is>
          <t>Sup. (ha)</t>
        </is>
      </c>
      <c r="D4" s="39" t="inlineStr">
        <is>
          <t>Vol. solución
(L)</t>
        </is>
      </c>
      <c r="E4" s="39" t="inlineStr">
        <is>
          <t>Maq. completas
×J2 L</t>
        </is>
      </c>
      <c r="F4" s="39" t="inlineStr">
        <is>
          <t>L adicionales</t>
        </is>
      </c>
      <c r="G4" s="40" t="inlineStr">
        <is>
          <t>Defender Potasio
(L)
NA ·· FERT</t>
        </is>
      </c>
      <c r="H4" s="41" t="inlineStr">
        <is>
          <t>Ripper Max 75 SG
(kg)
Ib ·· ACAR</t>
        </is>
      </c>
      <c r="I4" s="42" t="inlineStr">
        <is>
          <t>Exirel 200 SC
(L)
U ·· INSC</t>
        </is>
      </c>
      <c r="J4" s="43" t="inlineStr">
        <is>
          <t>Prod.4
(L ó kg)</t>
        </is>
      </c>
    </row>
    <row r="5" ht="14" customHeight="1">
      <c r="B5" s="44" t="inlineStr">
        <is>
          <t>15</t>
        </is>
      </c>
      <c r="C5" s="45" t="n">
        <v>3.79</v>
      </c>
      <c r="D5" s="46">
        <f>C5*OA!$J$10</f>
        <v/>
      </c>
      <c r="E5" s="46">
        <f>INT(D5/OA!$K$10)</f>
        <v/>
      </c>
      <c r="F5" s="46">
        <f>D5-E5*OA!$K$10</f>
        <v/>
      </c>
      <c r="G5" s="16">
        <f>IFERROR(D5*OA!$D$14/100/1000,"—")</f>
        <v/>
      </c>
      <c r="H5" s="16">
        <f>IFERROR(D5*OA!$D$15/100/1000,"—")</f>
        <v/>
      </c>
      <c r="I5" s="16">
        <f>IFERROR(D5*OA!$D$16/100/1000,"—")</f>
        <v/>
      </c>
      <c r="J5" s="47" t="inlineStr"/>
    </row>
    <row r="6" ht="14" customHeight="1">
      <c r="B6" s="44" t="inlineStr">
        <is>
          <t>16</t>
        </is>
      </c>
      <c r="C6" s="45" t="n">
        <v>4.31</v>
      </c>
      <c r="D6" s="46">
        <f>C6*OA!$J$10</f>
        <v/>
      </c>
      <c r="E6" s="46">
        <f>INT(D6/OA!$K$10)</f>
        <v/>
      </c>
      <c r="F6" s="46">
        <f>D6-E6*OA!$K$10</f>
        <v/>
      </c>
      <c r="G6" s="16">
        <f>IFERROR(D6*OA!$D$14/100/1000,"—")</f>
        <v/>
      </c>
      <c r="H6" s="16">
        <f>IFERROR(D6*OA!$D$15/100/1000,"—")</f>
        <v/>
      </c>
      <c r="I6" s="16">
        <f>IFERROR(D6*OA!$D$16/100/1000,"—")</f>
        <v/>
      </c>
      <c r="J6" s="47" t="inlineStr"/>
    </row>
    <row r="7" ht="14" customHeight="1">
      <c r="B7" s="44" t="inlineStr">
        <is>
          <t>18</t>
        </is>
      </c>
      <c r="C7" s="45" t="n">
        <v>4.73</v>
      </c>
      <c r="D7" s="46">
        <f>C7*OA!$J$10</f>
        <v/>
      </c>
      <c r="E7" s="46">
        <f>INT(D7/OA!$K$10)</f>
        <v/>
      </c>
      <c r="F7" s="46">
        <f>D7-E7*OA!$K$10</f>
        <v/>
      </c>
      <c r="G7" s="16">
        <f>IFERROR(D7*OA!$D$14/100/1000,"—")</f>
        <v/>
      </c>
      <c r="H7" s="16">
        <f>IFERROR(D7*OA!$D$15/100/1000,"—")</f>
        <v/>
      </c>
      <c r="I7" s="16">
        <f>IFERROR(D7*OA!$D$16/100/1000,"—")</f>
        <v/>
      </c>
      <c r="J7" s="47" t="inlineStr"/>
    </row>
    <row r="8" ht="14" customHeight="1">
      <c r="B8" s="44" t="inlineStr">
        <is>
          <t>19</t>
        </is>
      </c>
      <c r="C8" s="45" t="n">
        <v>5.14</v>
      </c>
      <c r="D8" s="46">
        <f>C8*OA!$J$10</f>
        <v/>
      </c>
      <c r="E8" s="46">
        <f>INT(D8/OA!$K$10)</f>
        <v/>
      </c>
      <c r="F8" s="46">
        <f>D8-E8*OA!$K$10</f>
        <v/>
      </c>
      <c r="G8" s="16">
        <f>IFERROR(D8*OA!$D$14/100/1000,"—")</f>
        <v/>
      </c>
      <c r="H8" s="16">
        <f>IFERROR(D8*OA!$D$15/100/1000,"—")</f>
        <v/>
      </c>
      <c r="I8" s="16">
        <f>IFERROR(D8*OA!$D$16/100/1000,"—")</f>
        <v/>
      </c>
      <c r="J8" s="47" t="inlineStr"/>
    </row>
    <row r="9" ht="14" customHeight="1">
      <c r="B9" s="44" t="inlineStr">
        <is>
          <t>20</t>
        </is>
      </c>
      <c r="C9" s="45" t="n">
        <v>5.14</v>
      </c>
      <c r="D9" s="46">
        <f>C9*OA!$J$10</f>
        <v/>
      </c>
      <c r="E9" s="46">
        <f>INT(D9/OA!$K$10)</f>
        <v/>
      </c>
      <c r="F9" s="46">
        <f>D9-E9*OA!$K$10</f>
        <v/>
      </c>
      <c r="G9" s="16">
        <f>IFERROR(D9*OA!$D$14/100/1000,"—")</f>
        <v/>
      </c>
      <c r="H9" s="16">
        <f>IFERROR(D9*OA!$D$15/100/1000,"—")</f>
        <v/>
      </c>
      <c r="I9" s="16">
        <f>IFERROR(D9*OA!$D$16/100/1000,"—")</f>
        <v/>
      </c>
      <c r="J9" s="47" t="inlineStr"/>
    </row>
    <row r="10" ht="14" customHeight="1">
      <c r="B10" s="48" t="inlineStr">
        <is>
          <t>TOTAL</t>
        </is>
      </c>
      <c r="C10" s="49">
        <f>SUM(C5:C9)</f>
        <v/>
      </c>
      <c r="D10" s="50">
        <f>SUM(D5:D9)</f>
        <v/>
      </c>
      <c r="E10" s="50">
        <f>SUM(E5:E9)</f>
        <v/>
      </c>
      <c r="F10" s="50">
        <f>SUM(F5:F9)</f>
        <v/>
      </c>
      <c r="G10" s="49">
        <f>SUM(G5:G9)</f>
        <v/>
      </c>
      <c r="H10" s="49">
        <f>SUM(H5:H9)</f>
        <v/>
      </c>
      <c r="I10" s="49">
        <f>SUM(I5:I9)</f>
        <v/>
      </c>
      <c r="J10" s="49">
        <f>SUM(J5:J9)</f>
        <v/>
      </c>
    </row>
    <row r="12" ht="12" customHeight="1">
      <c r="A12" s="51" t="inlineStr">
        <is>
          <t>* Maq. completa = capacidad estanque OA!K10 L  ·  Cantidades referenciales según calibración vigente.  ·  FERT=Fertilizante  ACAR=Acaricida  INSC=Insecticida</t>
        </is>
      </c>
    </row>
    <row r="13" ht="12" customHeight="1">
      <c r="A13" s="51" t="inlineStr">
        <is>
          <t>* Columna 'Categ. OMS': borde inferior grueso color según categoría — Ia=#7b0000  Ib=#e53e3e  II=#d69e2e  III=#3182ce  U=#38a169  NA=#888888</t>
        </is>
      </c>
    </row>
  </sheetData>
  <mergeCells count="5">
    <mergeCell ref="A1:J1"/>
    <mergeCell ref="E2:G2"/>
    <mergeCell ref="A12:J12"/>
    <mergeCell ref="A2:D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2026-05-20T21:29:03Z</dcterms:created>
  <dcterms:modified xsi:type="dcterms:W3CDTF">2026-05-20T21:29:03Z</dcterms:modified>
</cp:coreProperties>
</file>